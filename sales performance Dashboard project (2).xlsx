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117514AC-307B-4636-855D-DDD08E48220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ales Data" sheetId="1" r:id="rId1"/>
    <sheet name="Sales Summary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F3" i="3"/>
  <c r="D3" i="3"/>
  <c r="B3" i="3"/>
  <c r="B5" i="2"/>
  <c r="B4" i="2"/>
  <c r="B3" i="2"/>
  <c r="B2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</calcChain>
</file>

<file path=xl/sharedStrings.xml><?xml version="1.0" encoding="utf-8"?>
<sst xmlns="http://schemas.openxmlformats.org/spreadsheetml/2006/main" count="196" uniqueCount="65">
  <si>
    <t>OrderID</t>
  </si>
  <si>
    <t>Date</t>
  </si>
  <si>
    <t>Region</t>
  </si>
  <si>
    <t>City</t>
  </si>
  <si>
    <t>Product</t>
  </si>
  <si>
    <t>Category</t>
  </si>
  <si>
    <t>Units</t>
  </si>
  <si>
    <t>UnitPrice</t>
  </si>
  <si>
    <t>Discount</t>
  </si>
  <si>
    <t>SalesPerson</t>
  </si>
  <si>
    <t>Net Sales</t>
  </si>
  <si>
    <t>Gross Sales</t>
  </si>
  <si>
    <t>North</t>
  </si>
  <si>
    <t>Delhi</t>
  </si>
  <si>
    <t>Laptop</t>
  </si>
  <si>
    <t>Electronics</t>
  </si>
  <si>
    <t>Aarav</t>
  </si>
  <si>
    <t>West</t>
  </si>
  <si>
    <t>Mumbai</t>
  </si>
  <si>
    <t>Keyboard</t>
  </si>
  <si>
    <t>Accessories</t>
  </si>
  <si>
    <t>Sunny</t>
  </si>
  <si>
    <t>South</t>
  </si>
  <si>
    <t>Jaipur</t>
  </si>
  <si>
    <t>Monitor</t>
  </si>
  <si>
    <t>Rishabh</t>
  </si>
  <si>
    <t>East</t>
  </si>
  <si>
    <t>Bangaluru</t>
  </si>
  <si>
    <t>Headphones</t>
  </si>
  <si>
    <t>Dev</t>
  </si>
  <si>
    <t>Pune</t>
  </si>
  <si>
    <t>Mobiles</t>
  </si>
  <si>
    <t>Mani</t>
  </si>
  <si>
    <t>Lucknow</t>
  </si>
  <si>
    <t>Kajal</t>
  </si>
  <si>
    <t>Raja</t>
  </si>
  <si>
    <t>Aalok</t>
  </si>
  <si>
    <t>13/9/2026</t>
  </si>
  <si>
    <t>14/9/2026</t>
  </si>
  <si>
    <t>15/9/2026</t>
  </si>
  <si>
    <t>16/9/2026</t>
  </si>
  <si>
    <t>17/9/2026</t>
  </si>
  <si>
    <t>18/9/2026</t>
  </si>
  <si>
    <t>19/9/2026</t>
  </si>
  <si>
    <t>20/9/2026</t>
  </si>
  <si>
    <t>21/9/2026</t>
  </si>
  <si>
    <t>22/9/2026</t>
  </si>
  <si>
    <t>23/9/2026</t>
  </si>
  <si>
    <t>24/9/2026</t>
  </si>
  <si>
    <t>25/9/2026</t>
  </si>
  <si>
    <t>26/9/2026</t>
  </si>
  <si>
    <t>27/9/2026</t>
  </si>
  <si>
    <t>28/9/2026</t>
  </si>
  <si>
    <t>29/9/2026</t>
  </si>
  <si>
    <t>30/9/2026</t>
  </si>
  <si>
    <t>Sales Summary</t>
  </si>
  <si>
    <t>Total Net Sales</t>
  </si>
  <si>
    <t>Total Gross Sales</t>
  </si>
  <si>
    <t>Total Units Sold</t>
  </si>
  <si>
    <t>Total Orders</t>
  </si>
  <si>
    <t>SALES PERFORMANCE DASHBOARD</t>
  </si>
  <si>
    <t>TOTAL NET SALES</t>
  </si>
  <si>
    <t>TOTAL GROSS SALES</t>
  </si>
  <si>
    <t>TOTAL UNITS SOLD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</si>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</sst>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0" fillId="0" borderId="1" xfId="0" applyBorder="1"/>
    <xf numFmtId="0" fontId="4" fillId="6" borderId="0" xfId="0" applyFont="1" applyFill="1"/>
    <xf numFmtId="0" fontId="5" fillId="6" borderId="0" xfId="0" applyFont="1" applyFill="1" applyAlignment="1">
      <alignment horizontal="center"/>
    </xf>
    <xf numFmtId="0" fontId="4" fillId="6" borderId="2" xfId="0" applyFont="1" applyFill="1" applyBorder="1"/>
    <xf numFmtId="0" fontId="5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Net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Summary'!$E$1</c:f>
              <c:strCache>
                <c:ptCount val="1"/>
                <c:pt idx="0">
                  <c:v>Total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Summary'!$D$2:$D$5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Summary'!$E$2:$E$5</c:f>
              <c:numCache>
                <c:formatCode>General</c:formatCode>
                <c:ptCount val="4"/>
                <c:pt idx="0">
                  <c:v>4146875.76</c:v>
                </c:pt>
                <c:pt idx="1">
                  <c:v>3468593.28</c:v>
                </c:pt>
                <c:pt idx="2">
                  <c:v>3853847.13</c:v>
                </c:pt>
                <c:pt idx="3">
                  <c:v>4572915.5699999994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9-4109-A70E-1E67B0A4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628296"/>
        <c:axId val="1271656456"/>
      </c:barChart>
      <c:catAx>
        <c:axId val="127162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56456"/>
        <c:crosses val="autoZero"/>
        <c:auto val="1"/>
        <c:lblAlgn val="ctr"/>
        <c:lblOffset val="100"/>
        <c:noMultiLvlLbl val="0"/>
      </c:catAx>
      <c:valAx>
        <c:axId val="127165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2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CE4D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38100</xdr:rowOff>
    </xdr:from>
    <xdr:to>
      <xdr:col>12</xdr:col>
      <xdr:colOff>504825</xdr:colOff>
      <xdr:row>14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C5CAEB-DE01-E8F8-F8A4-850CADF96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CC3BE-BDC7-4425-BC97-A673EDCEE3D1}" name="Table1" displayName="Table1" ref="A1:L33" totalsRowCount="1" dataDxfId="18">
  <autoFilter ref="A1:L32" xr:uid="{98CCC3BE-BDC7-4425-BC97-A673EDCEE3D1}"/>
  <tableColumns count="12">
    <tableColumn id="1" xr3:uid="{6EDE1629-B75D-4BA1-9CF4-7B4177544A77}" name="OrderID" dataDxfId="16" totalsRowDxfId="17"/>
    <tableColumn id="2" xr3:uid="{9EC20BC0-0034-4853-842B-7868DA00C8BA}" name="Date" dataDxfId="14" totalsRowDxfId="15"/>
    <tableColumn id="3" xr3:uid="{C9703E9B-0A29-487C-A95F-827CD8A50E95}" name="Region" dataDxfId="12" totalsRowDxfId="13"/>
    <tableColumn id="4" xr3:uid="{788E39A6-706E-4DBC-9D86-81DC3ED5894F}" name="City"/>
    <tableColumn id="5" xr3:uid="{253EE1FF-92A2-418D-B601-0388279C5A6F}" name="Product"/>
    <tableColumn id="6" xr3:uid="{2A2056CE-A05A-4479-94B7-B4D3B7EFA671}" name="Category"/>
    <tableColumn id="7" xr3:uid="{44BC74B2-5244-4732-B0DC-F7E74E76B0CC}" name="Units" dataDxfId="10" totalsRowDxfId="11"/>
    <tableColumn id="8" xr3:uid="{51AEEBE1-BC10-40B2-A86A-F85F1263BCC5}" name="UnitPrice" dataDxfId="8" totalsRowDxfId="9"/>
    <tableColumn id="9" xr3:uid="{8AEF4A6D-9526-4F2B-A893-2CB47D160C80}" name="Discount" dataDxfId="6" totalsRowDxfId="7"/>
    <tableColumn id="10" xr3:uid="{44D123B1-C1E4-4CB6-80E8-ABB87CD3C167}" name="SalesPerson" dataDxfId="4" totalsRowDxfId="5"/>
    <tableColumn id="11" xr3:uid="{7C39BE5C-9D70-41B6-BF1A-3AE2986EFA30}" name="Net Sales" dataDxfId="2" totalsRowDxfId="3">
      <calculatedColumnFormula>G2*H2*(1-I2)</calculatedColumnFormula>
    </tableColumn>
    <tableColumn id="12" xr3:uid="{44743C04-D68B-4937-8D00-AC1D5D0C8FE7}" name="Gross Sales" dataDxfId="0" totalsRowDxfId="1">
      <calculatedColumnFormula>Table1[[#This Row],[Units]]*Table1[[#This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31" workbookViewId="0">
      <selection activeCell="K1" sqref="K1:K31"/>
    </sheetView>
  </sheetViews>
  <sheetFormatPr defaultRowHeight="15"/>
  <cols>
    <col min="1" max="1" width="10.5703125" bestFit="1" customWidth="1"/>
    <col min="2" max="2" width="11.28515625" customWidth="1"/>
    <col min="3" max="3" width="9.5703125" bestFit="1" customWidth="1"/>
    <col min="4" max="4" width="10" bestFit="1" customWidth="1"/>
    <col min="5" max="5" width="12.140625" bestFit="1" customWidth="1"/>
    <col min="6" max="6" width="11.42578125" bestFit="1" customWidth="1"/>
    <col min="8" max="8" width="11.7109375" bestFit="1" customWidth="1"/>
    <col min="9" max="9" width="11.85546875" bestFit="1" customWidth="1"/>
    <col min="10" max="10" width="14.140625" bestFit="1" customWidth="1"/>
    <col min="11" max="11" width="10.85546875" customWidth="1"/>
    <col min="12" max="12" width="11.5703125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</row>
    <row r="2" spans="1:12">
      <c r="A2" s="1">
        <v>1001</v>
      </c>
      <c r="B2" s="2">
        <v>46031</v>
      </c>
      <c r="C2" s="1" t="s">
        <v>12</v>
      </c>
      <c r="D2" t="s">
        <v>13</v>
      </c>
      <c r="E2" t="s">
        <v>14</v>
      </c>
      <c r="F2" t="s">
        <v>15</v>
      </c>
      <c r="G2" s="1">
        <v>8</v>
      </c>
      <c r="H2" s="1">
        <v>850</v>
      </c>
      <c r="I2" s="3">
        <v>0.01</v>
      </c>
      <c r="J2" s="1" t="s">
        <v>16</v>
      </c>
      <c r="K2" s="1">
        <f t="shared" ref="K2:K32" si="0">G2*H2*(1-I2)</f>
        <v>6732</v>
      </c>
      <c r="L2" s="1">
        <f>Table1[[#This Row],[Units]]*Table1[[#This Row],[UnitPrice]]</f>
        <v>6800</v>
      </c>
    </row>
    <row r="3" spans="1:12">
      <c r="A3" s="1">
        <v>1002</v>
      </c>
      <c r="B3" s="2">
        <v>46062</v>
      </c>
      <c r="C3" s="1" t="s">
        <v>17</v>
      </c>
      <c r="D3" t="s">
        <v>18</v>
      </c>
      <c r="E3" t="s">
        <v>19</v>
      </c>
      <c r="F3" t="s">
        <v>20</v>
      </c>
      <c r="G3" s="1">
        <v>9</v>
      </c>
      <c r="H3" s="1">
        <v>670</v>
      </c>
      <c r="I3" s="3">
        <v>0.02</v>
      </c>
      <c r="J3" s="1" t="s">
        <v>21</v>
      </c>
      <c r="K3" s="1">
        <f t="shared" si="0"/>
        <v>5909.4</v>
      </c>
      <c r="L3" s="1">
        <f>Table1[[#This Row],[Units]]*Table1[[#This Row],[UnitPrice]]</f>
        <v>6030</v>
      </c>
    </row>
    <row r="4" spans="1:12">
      <c r="A4" s="1">
        <v>1003</v>
      </c>
      <c r="B4" s="2">
        <v>46090</v>
      </c>
      <c r="C4" s="1" t="s">
        <v>22</v>
      </c>
      <c r="D4" t="s">
        <v>23</v>
      </c>
      <c r="E4" t="s">
        <v>24</v>
      </c>
      <c r="F4" t="s">
        <v>15</v>
      </c>
      <c r="G4" s="1">
        <v>10</v>
      </c>
      <c r="H4" s="1">
        <v>1200</v>
      </c>
      <c r="I4" s="3">
        <v>0.03</v>
      </c>
      <c r="J4" s="1" t="s">
        <v>25</v>
      </c>
      <c r="K4" s="1">
        <f t="shared" si="0"/>
        <v>11640</v>
      </c>
      <c r="L4" s="1">
        <f>Table1[[#This Row],[Units]]*Table1[[#This Row],[UnitPrice]]</f>
        <v>12000</v>
      </c>
    </row>
    <row r="5" spans="1:12">
      <c r="A5" s="1">
        <v>1004</v>
      </c>
      <c r="B5" s="2">
        <v>46121</v>
      </c>
      <c r="C5" s="1" t="s">
        <v>26</v>
      </c>
      <c r="D5" t="s">
        <v>27</v>
      </c>
      <c r="E5" t="s">
        <v>28</v>
      </c>
      <c r="F5" t="s">
        <v>15</v>
      </c>
      <c r="G5" s="1">
        <v>11</v>
      </c>
      <c r="H5" s="1">
        <v>9800</v>
      </c>
      <c r="I5" s="3">
        <v>0.04</v>
      </c>
      <c r="J5" s="1" t="s">
        <v>29</v>
      </c>
      <c r="K5" s="1">
        <f t="shared" si="0"/>
        <v>103488</v>
      </c>
      <c r="L5" s="1">
        <f>Table1[[#This Row],[Units]]*Table1[[#This Row],[UnitPrice]]</f>
        <v>107800</v>
      </c>
    </row>
    <row r="6" spans="1:12">
      <c r="A6" s="1">
        <v>1005</v>
      </c>
      <c r="B6" s="2">
        <v>46151</v>
      </c>
      <c r="C6" s="1" t="s">
        <v>12</v>
      </c>
      <c r="D6" t="s">
        <v>30</v>
      </c>
      <c r="E6" t="s">
        <v>31</v>
      </c>
      <c r="F6" t="s">
        <v>15</v>
      </c>
      <c r="G6" s="1">
        <v>12</v>
      </c>
      <c r="H6" s="1">
        <v>3200</v>
      </c>
      <c r="I6" s="3">
        <v>0.05</v>
      </c>
      <c r="J6" s="1" t="s">
        <v>32</v>
      </c>
      <c r="K6" s="1">
        <f t="shared" si="0"/>
        <v>36480</v>
      </c>
      <c r="L6" s="1">
        <f>Table1[[#This Row],[Units]]*Table1[[#This Row],[UnitPrice]]</f>
        <v>38400</v>
      </c>
    </row>
    <row r="7" spans="1:12">
      <c r="A7" s="1">
        <v>1006</v>
      </c>
      <c r="B7" s="2">
        <v>46182</v>
      </c>
      <c r="C7" s="1" t="s">
        <v>17</v>
      </c>
      <c r="D7" t="s">
        <v>33</v>
      </c>
      <c r="E7" t="s">
        <v>14</v>
      </c>
      <c r="F7" t="s">
        <v>15</v>
      </c>
      <c r="G7" s="1">
        <v>13</v>
      </c>
      <c r="H7" s="1">
        <v>7293</v>
      </c>
      <c r="I7" s="3">
        <v>0.06</v>
      </c>
      <c r="J7" s="1" t="s">
        <v>34</v>
      </c>
      <c r="K7" s="1">
        <f t="shared" si="0"/>
        <v>89120.459999999992</v>
      </c>
      <c r="L7" s="1">
        <f>Table1[[#This Row],[Units]]*Table1[[#This Row],[UnitPrice]]</f>
        <v>94809</v>
      </c>
    </row>
    <row r="8" spans="1:12">
      <c r="A8" s="1">
        <v>1007</v>
      </c>
      <c r="B8" s="2">
        <v>46212</v>
      </c>
      <c r="C8" s="1" t="s">
        <v>22</v>
      </c>
      <c r="D8" t="s">
        <v>13</v>
      </c>
      <c r="E8" t="s">
        <v>19</v>
      </c>
      <c r="F8" t="s">
        <v>20</v>
      </c>
      <c r="G8" s="1">
        <v>14</v>
      </c>
      <c r="H8" s="1">
        <v>8676</v>
      </c>
      <c r="I8" s="3">
        <v>7.0000000000000007E-2</v>
      </c>
      <c r="J8" s="1" t="s">
        <v>35</v>
      </c>
      <c r="K8" s="1">
        <f t="shared" si="0"/>
        <v>112961.51999999999</v>
      </c>
      <c r="L8" s="1">
        <f>Table1[[#This Row],[Units]]*Table1[[#This Row],[UnitPrice]]</f>
        <v>121464</v>
      </c>
    </row>
    <row r="9" spans="1:12">
      <c r="A9" s="1">
        <v>1008</v>
      </c>
      <c r="B9" s="2">
        <v>46243</v>
      </c>
      <c r="C9" s="1" t="s">
        <v>26</v>
      </c>
      <c r="D9" t="s">
        <v>18</v>
      </c>
      <c r="E9" t="s">
        <v>24</v>
      </c>
      <c r="F9" t="s">
        <v>15</v>
      </c>
      <c r="G9" s="1">
        <v>15</v>
      </c>
      <c r="H9" s="1">
        <v>10059</v>
      </c>
      <c r="I9" s="3">
        <v>0.08</v>
      </c>
      <c r="J9" s="1" t="s">
        <v>36</v>
      </c>
      <c r="K9" s="1">
        <f t="shared" si="0"/>
        <v>138814.20000000001</v>
      </c>
      <c r="L9" s="1">
        <f>Table1[[#This Row],[Units]]*Table1[[#This Row],[UnitPrice]]</f>
        <v>150885</v>
      </c>
    </row>
    <row r="10" spans="1:12">
      <c r="A10" s="1">
        <v>1009</v>
      </c>
      <c r="B10" s="2">
        <v>46274</v>
      </c>
      <c r="C10" s="1" t="s">
        <v>12</v>
      </c>
      <c r="D10" t="s">
        <v>23</v>
      </c>
      <c r="E10" t="s">
        <v>28</v>
      </c>
      <c r="F10" t="s">
        <v>15</v>
      </c>
      <c r="G10" s="1">
        <v>16</v>
      </c>
      <c r="H10" s="1">
        <v>11442</v>
      </c>
      <c r="I10" s="3">
        <v>0.01</v>
      </c>
      <c r="J10" s="1" t="s">
        <v>16</v>
      </c>
      <c r="K10" s="1">
        <f t="shared" si="0"/>
        <v>181241.28</v>
      </c>
      <c r="L10" s="1">
        <f>Table1[[#This Row],[Units]]*Table1[[#This Row],[UnitPrice]]</f>
        <v>183072</v>
      </c>
    </row>
    <row r="11" spans="1:12">
      <c r="A11" s="1">
        <v>1010</v>
      </c>
      <c r="B11" s="2">
        <v>46304</v>
      </c>
      <c r="C11" s="1" t="s">
        <v>17</v>
      </c>
      <c r="D11" t="s">
        <v>27</v>
      </c>
      <c r="E11" t="s">
        <v>31</v>
      </c>
      <c r="F11" t="s">
        <v>15</v>
      </c>
      <c r="G11" s="1">
        <v>17</v>
      </c>
      <c r="H11" s="1">
        <v>12825</v>
      </c>
      <c r="I11" s="3">
        <v>0.02</v>
      </c>
      <c r="J11" s="1" t="s">
        <v>21</v>
      </c>
      <c r="K11" s="1">
        <f t="shared" si="0"/>
        <v>213664.5</v>
      </c>
      <c r="L11" s="1">
        <f>Table1[[#This Row],[Units]]*Table1[[#This Row],[UnitPrice]]</f>
        <v>218025</v>
      </c>
    </row>
    <row r="12" spans="1:12">
      <c r="A12" s="1">
        <v>1011</v>
      </c>
      <c r="B12" s="2">
        <v>46335</v>
      </c>
      <c r="C12" s="1" t="s">
        <v>22</v>
      </c>
      <c r="D12" t="s">
        <v>30</v>
      </c>
      <c r="E12" t="s">
        <v>14</v>
      </c>
      <c r="F12" t="s">
        <v>15</v>
      </c>
      <c r="G12" s="1">
        <v>18</v>
      </c>
      <c r="H12" s="1">
        <v>14208</v>
      </c>
      <c r="I12" s="3">
        <v>0.03</v>
      </c>
      <c r="J12" s="1" t="s">
        <v>25</v>
      </c>
      <c r="K12" s="1">
        <f t="shared" si="0"/>
        <v>248071.67999999999</v>
      </c>
      <c r="L12" s="1">
        <f>Table1[[#This Row],[Units]]*Table1[[#This Row],[UnitPrice]]</f>
        <v>255744</v>
      </c>
    </row>
    <row r="13" spans="1:12">
      <c r="A13" s="1">
        <v>1012</v>
      </c>
      <c r="B13" s="2">
        <v>46365</v>
      </c>
      <c r="C13" s="1" t="s">
        <v>26</v>
      </c>
      <c r="D13" t="s">
        <v>33</v>
      </c>
      <c r="E13" t="s">
        <v>19</v>
      </c>
      <c r="F13" t="s">
        <v>20</v>
      </c>
      <c r="G13" s="1">
        <v>19</v>
      </c>
      <c r="H13" s="1">
        <v>15591</v>
      </c>
      <c r="I13" s="3">
        <v>0.04</v>
      </c>
      <c r="J13" s="1" t="s">
        <v>29</v>
      </c>
      <c r="K13" s="1">
        <f t="shared" si="0"/>
        <v>284379.83999999997</v>
      </c>
      <c r="L13" s="1">
        <f>Table1[[#This Row],[Units]]*Table1[[#This Row],[UnitPrice]]</f>
        <v>296229</v>
      </c>
    </row>
    <row r="14" spans="1:12">
      <c r="A14" s="1">
        <v>1013</v>
      </c>
      <c r="B14" s="2" t="s">
        <v>37</v>
      </c>
      <c r="C14" s="1" t="s">
        <v>12</v>
      </c>
      <c r="D14" t="s">
        <v>13</v>
      </c>
      <c r="E14" t="s">
        <v>24</v>
      </c>
      <c r="F14" t="s">
        <v>15</v>
      </c>
      <c r="G14" s="1">
        <v>20</v>
      </c>
      <c r="H14" s="1">
        <v>16974</v>
      </c>
      <c r="I14" s="3">
        <v>0.05</v>
      </c>
      <c r="J14" s="1" t="s">
        <v>32</v>
      </c>
      <c r="K14" s="1">
        <f t="shared" si="0"/>
        <v>322506</v>
      </c>
      <c r="L14" s="1">
        <f>Table1[[#This Row],[Units]]*Table1[[#This Row],[UnitPrice]]</f>
        <v>339480</v>
      </c>
    </row>
    <row r="15" spans="1:12">
      <c r="A15" s="1">
        <v>1014</v>
      </c>
      <c r="B15" s="2" t="s">
        <v>38</v>
      </c>
      <c r="C15" s="1" t="s">
        <v>17</v>
      </c>
      <c r="D15" t="s">
        <v>18</v>
      </c>
      <c r="E15" t="s">
        <v>28</v>
      </c>
      <c r="F15" t="s">
        <v>15</v>
      </c>
      <c r="G15" s="1">
        <v>21</v>
      </c>
      <c r="H15" s="1">
        <v>18357</v>
      </c>
      <c r="I15" s="3">
        <v>0.06</v>
      </c>
      <c r="J15" s="1" t="s">
        <v>34</v>
      </c>
      <c r="K15" s="1">
        <f t="shared" si="0"/>
        <v>362367.18</v>
      </c>
      <c r="L15" s="1">
        <f>Table1[[#This Row],[Units]]*Table1[[#This Row],[UnitPrice]]</f>
        <v>385497</v>
      </c>
    </row>
    <row r="16" spans="1:12">
      <c r="A16" s="1">
        <v>1015</v>
      </c>
      <c r="B16" s="2" t="s">
        <v>39</v>
      </c>
      <c r="C16" s="1" t="s">
        <v>22</v>
      </c>
      <c r="D16" t="s">
        <v>23</v>
      </c>
      <c r="E16" t="s">
        <v>31</v>
      </c>
      <c r="F16" t="s">
        <v>15</v>
      </c>
      <c r="G16" s="1">
        <v>22</v>
      </c>
      <c r="H16" s="1">
        <v>19740</v>
      </c>
      <c r="I16" s="3">
        <v>7.0000000000000007E-2</v>
      </c>
      <c r="J16" s="1" t="s">
        <v>35</v>
      </c>
      <c r="K16" s="1">
        <f t="shared" si="0"/>
        <v>403880.39999999997</v>
      </c>
      <c r="L16" s="1">
        <f>Table1[[#This Row],[Units]]*Table1[[#This Row],[UnitPrice]]</f>
        <v>434280</v>
      </c>
    </row>
    <row r="17" spans="1:12">
      <c r="A17" s="1">
        <v>1016</v>
      </c>
      <c r="B17" s="2" t="s">
        <v>40</v>
      </c>
      <c r="C17" s="1" t="s">
        <v>26</v>
      </c>
      <c r="D17" t="s">
        <v>27</v>
      </c>
      <c r="E17" t="s">
        <v>14</v>
      </c>
      <c r="F17" t="s">
        <v>15</v>
      </c>
      <c r="G17" s="1">
        <v>23</v>
      </c>
      <c r="H17" s="1">
        <v>21123</v>
      </c>
      <c r="I17" s="3">
        <v>0.08</v>
      </c>
      <c r="J17" s="1" t="s">
        <v>36</v>
      </c>
      <c r="K17" s="1">
        <f t="shared" si="0"/>
        <v>446962.68</v>
      </c>
      <c r="L17" s="1">
        <f>Table1[[#This Row],[Units]]*Table1[[#This Row],[UnitPrice]]</f>
        <v>485829</v>
      </c>
    </row>
    <row r="18" spans="1:12">
      <c r="A18" s="1">
        <v>1017</v>
      </c>
      <c r="B18" s="2" t="s">
        <v>41</v>
      </c>
      <c r="C18" s="1" t="s">
        <v>12</v>
      </c>
      <c r="D18" t="s">
        <v>30</v>
      </c>
      <c r="E18" t="s">
        <v>19</v>
      </c>
      <c r="F18" t="s">
        <v>20</v>
      </c>
      <c r="G18" s="1">
        <v>24</v>
      </c>
      <c r="H18" s="1">
        <v>22506</v>
      </c>
      <c r="I18" s="3">
        <v>0.01</v>
      </c>
      <c r="J18" s="1" t="s">
        <v>16</v>
      </c>
      <c r="K18" s="1">
        <f t="shared" si="0"/>
        <v>534742.55999999994</v>
      </c>
      <c r="L18" s="1">
        <f>Table1[[#This Row],[Units]]*Table1[[#This Row],[UnitPrice]]</f>
        <v>540144</v>
      </c>
    </row>
    <row r="19" spans="1:12">
      <c r="A19" s="1">
        <v>1018</v>
      </c>
      <c r="B19" s="2" t="s">
        <v>42</v>
      </c>
      <c r="C19" s="1" t="s">
        <v>17</v>
      </c>
      <c r="D19" t="s">
        <v>33</v>
      </c>
      <c r="E19" t="s">
        <v>24</v>
      </c>
      <c r="F19" t="s">
        <v>15</v>
      </c>
      <c r="G19" s="1">
        <v>25</v>
      </c>
      <c r="H19" s="1">
        <v>23889</v>
      </c>
      <c r="I19" s="3">
        <v>0.02</v>
      </c>
      <c r="J19" s="1" t="s">
        <v>21</v>
      </c>
      <c r="K19" s="1">
        <f t="shared" si="0"/>
        <v>585280.5</v>
      </c>
      <c r="L19" s="1">
        <f>Table1[[#This Row],[Units]]*Table1[[#This Row],[UnitPrice]]</f>
        <v>597225</v>
      </c>
    </row>
    <row r="20" spans="1:12">
      <c r="A20" s="1">
        <v>1019</v>
      </c>
      <c r="B20" s="2" t="s">
        <v>43</v>
      </c>
      <c r="C20" s="1" t="s">
        <v>22</v>
      </c>
      <c r="D20" t="s">
        <v>13</v>
      </c>
      <c r="E20" t="s">
        <v>28</v>
      </c>
      <c r="F20" t="s">
        <v>15</v>
      </c>
      <c r="G20" s="1">
        <v>26</v>
      </c>
      <c r="H20" s="1">
        <v>25272</v>
      </c>
      <c r="I20" s="3">
        <v>0.03</v>
      </c>
      <c r="J20" s="1" t="s">
        <v>25</v>
      </c>
      <c r="K20" s="1">
        <f t="shared" si="0"/>
        <v>637359.84</v>
      </c>
      <c r="L20" s="1">
        <f>Table1[[#This Row],[Units]]*Table1[[#This Row],[UnitPrice]]</f>
        <v>657072</v>
      </c>
    </row>
    <row r="21" spans="1:12">
      <c r="A21" s="1">
        <v>1020</v>
      </c>
      <c r="B21" s="2" t="s">
        <v>44</v>
      </c>
      <c r="C21" s="1" t="s">
        <v>26</v>
      </c>
      <c r="D21" t="s">
        <v>18</v>
      </c>
      <c r="E21" t="s">
        <v>31</v>
      </c>
      <c r="F21" t="s">
        <v>15</v>
      </c>
      <c r="G21" s="1">
        <v>27</v>
      </c>
      <c r="H21" s="1">
        <v>26655</v>
      </c>
      <c r="I21" s="3">
        <v>0.03</v>
      </c>
      <c r="J21" s="1" t="s">
        <v>29</v>
      </c>
      <c r="K21" s="1">
        <f t="shared" si="0"/>
        <v>698094.45</v>
      </c>
      <c r="L21" s="1">
        <f>Table1[[#This Row],[Units]]*Table1[[#This Row],[UnitPrice]]</f>
        <v>719685</v>
      </c>
    </row>
    <row r="22" spans="1:12">
      <c r="A22" s="1">
        <v>1021</v>
      </c>
      <c r="B22" s="2" t="s">
        <v>45</v>
      </c>
      <c r="C22" s="1" t="s">
        <v>12</v>
      </c>
      <c r="D22" t="s">
        <v>23</v>
      </c>
      <c r="E22" t="s">
        <v>14</v>
      </c>
      <c r="F22" t="s">
        <v>15</v>
      </c>
      <c r="G22" s="1">
        <v>28</v>
      </c>
      <c r="H22" s="1">
        <v>28038</v>
      </c>
      <c r="I22" s="3">
        <v>0.04</v>
      </c>
      <c r="J22" s="1" t="s">
        <v>32</v>
      </c>
      <c r="K22" s="1">
        <f t="shared" si="0"/>
        <v>753661.43999999994</v>
      </c>
      <c r="L22" s="1">
        <f>Table1[[#This Row],[Units]]*Table1[[#This Row],[UnitPrice]]</f>
        <v>785064</v>
      </c>
    </row>
    <row r="23" spans="1:12">
      <c r="A23" s="1">
        <v>1022</v>
      </c>
      <c r="B23" s="2" t="s">
        <v>46</v>
      </c>
      <c r="C23" s="1" t="s">
        <v>17</v>
      </c>
      <c r="D23" t="s">
        <v>27</v>
      </c>
      <c r="E23" t="s">
        <v>19</v>
      </c>
      <c r="F23" t="s">
        <v>20</v>
      </c>
      <c r="G23" s="1">
        <v>29</v>
      </c>
      <c r="H23" s="1">
        <v>29421</v>
      </c>
      <c r="I23" s="3">
        <v>0.05</v>
      </c>
      <c r="J23" s="1" t="s">
        <v>34</v>
      </c>
      <c r="K23" s="1">
        <f t="shared" si="0"/>
        <v>810548.54999999993</v>
      </c>
      <c r="L23" s="1">
        <f>Table1[[#This Row],[Units]]*Table1[[#This Row],[UnitPrice]]</f>
        <v>853209</v>
      </c>
    </row>
    <row r="24" spans="1:12">
      <c r="A24" s="1">
        <v>1023</v>
      </c>
      <c r="B24" s="2" t="s">
        <v>47</v>
      </c>
      <c r="C24" s="1" t="s">
        <v>22</v>
      </c>
      <c r="D24" t="s">
        <v>30</v>
      </c>
      <c r="E24" t="s">
        <v>24</v>
      </c>
      <c r="F24" t="s">
        <v>15</v>
      </c>
      <c r="G24" s="1">
        <v>30</v>
      </c>
      <c r="H24" s="1">
        <v>30804</v>
      </c>
      <c r="I24" s="3">
        <v>0.06</v>
      </c>
      <c r="J24" s="1" t="s">
        <v>35</v>
      </c>
      <c r="K24" s="1">
        <f t="shared" si="0"/>
        <v>868672.79999999993</v>
      </c>
      <c r="L24" s="1">
        <f>Table1[[#This Row],[Units]]*Table1[[#This Row],[UnitPrice]]</f>
        <v>924120</v>
      </c>
    </row>
    <row r="25" spans="1:12">
      <c r="A25" s="1">
        <v>1024</v>
      </c>
      <c r="B25" s="2" t="s">
        <v>48</v>
      </c>
      <c r="C25" s="1" t="s">
        <v>26</v>
      </c>
      <c r="D25" t="s">
        <v>33</v>
      </c>
      <c r="E25" t="s">
        <v>28</v>
      </c>
      <c r="F25" t="s">
        <v>15</v>
      </c>
      <c r="G25" s="1">
        <v>31</v>
      </c>
      <c r="H25" s="1">
        <v>32187</v>
      </c>
      <c r="I25" s="3">
        <v>7.0000000000000007E-2</v>
      </c>
      <c r="J25" s="1" t="s">
        <v>36</v>
      </c>
      <c r="K25" s="1">
        <f t="shared" si="0"/>
        <v>927951.21</v>
      </c>
      <c r="L25" s="1">
        <f>Table1[[#This Row],[Units]]*Table1[[#This Row],[UnitPrice]]</f>
        <v>997797</v>
      </c>
    </row>
    <row r="26" spans="1:12">
      <c r="A26" s="1">
        <v>1025</v>
      </c>
      <c r="B26" s="2" t="s">
        <v>49</v>
      </c>
      <c r="C26" s="1" t="s">
        <v>12</v>
      </c>
      <c r="D26" t="s">
        <v>13</v>
      </c>
      <c r="E26" t="s">
        <v>31</v>
      </c>
      <c r="F26" t="s">
        <v>15</v>
      </c>
      <c r="G26" s="1">
        <v>32</v>
      </c>
      <c r="H26" s="1">
        <v>33570</v>
      </c>
      <c r="I26" s="3">
        <v>0.08</v>
      </c>
      <c r="J26" s="1" t="s">
        <v>16</v>
      </c>
      <c r="K26" s="1">
        <f t="shared" si="0"/>
        <v>988300.80000000005</v>
      </c>
      <c r="L26" s="1">
        <f>Table1[[#This Row],[Units]]*Table1[[#This Row],[UnitPrice]]</f>
        <v>1074240</v>
      </c>
    </row>
    <row r="27" spans="1:12">
      <c r="A27" s="1">
        <v>1026</v>
      </c>
      <c r="B27" s="2" t="s">
        <v>50</v>
      </c>
      <c r="C27" s="1" t="s">
        <v>17</v>
      </c>
      <c r="D27" t="s">
        <v>18</v>
      </c>
      <c r="E27" t="s">
        <v>14</v>
      </c>
      <c r="F27" t="s">
        <v>15</v>
      </c>
      <c r="G27" s="1">
        <v>33</v>
      </c>
      <c r="H27" s="1">
        <v>34953</v>
      </c>
      <c r="I27" s="3">
        <v>0.03</v>
      </c>
      <c r="J27" s="1" t="s">
        <v>21</v>
      </c>
      <c r="K27" s="1">
        <f t="shared" si="0"/>
        <v>1118845.53</v>
      </c>
      <c r="L27" s="1">
        <f>Table1[[#This Row],[Units]]*Table1[[#This Row],[UnitPrice]]</f>
        <v>1153449</v>
      </c>
    </row>
    <row r="28" spans="1:12">
      <c r="A28" s="1">
        <v>1027</v>
      </c>
      <c r="B28" s="2" t="s">
        <v>51</v>
      </c>
      <c r="C28" s="1" t="s">
        <v>22</v>
      </c>
      <c r="D28" t="s">
        <v>23</v>
      </c>
      <c r="E28" t="s">
        <v>19</v>
      </c>
      <c r="F28" t="s">
        <v>20</v>
      </c>
      <c r="G28" s="1">
        <v>34</v>
      </c>
      <c r="H28" s="1">
        <v>36336</v>
      </c>
      <c r="I28" s="3">
        <v>0.04</v>
      </c>
      <c r="J28" s="1" t="s">
        <v>25</v>
      </c>
      <c r="K28" s="1">
        <f t="shared" si="0"/>
        <v>1186007.04</v>
      </c>
      <c r="L28" s="1">
        <f>Table1[[#This Row],[Units]]*Table1[[#This Row],[UnitPrice]]</f>
        <v>1235424</v>
      </c>
    </row>
    <row r="29" spans="1:12">
      <c r="A29" s="1">
        <v>1028</v>
      </c>
      <c r="B29" s="2" t="s">
        <v>52</v>
      </c>
      <c r="C29" s="1" t="s">
        <v>26</v>
      </c>
      <c r="D29" t="s">
        <v>27</v>
      </c>
      <c r="E29" t="s">
        <v>24</v>
      </c>
      <c r="F29" t="s">
        <v>15</v>
      </c>
      <c r="G29" s="1">
        <v>35</v>
      </c>
      <c r="H29" s="1">
        <v>37719</v>
      </c>
      <c r="I29" s="3">
        <v>0.05</v>
      </c>
      <c r="J29" s="1" t="s">
        <v>29</v>
      </c>
      <c r="K29" s="1">
        <f t="shared" si="0"/>
        <v>1254156.75</v>
      </c>
      <c r="L29" s="1">
        <f>Table1[[#This Row],[Units]]*Table1[[#This Row],[UnitPrice]]</f>
        <v>1320165</v>
      </c>
    </row>
    <row r="30" spans="1:12">
      <c r="A30" s="1">
        <v>1029</v>
      </c>
      <c r="B30" s="2" t="s">
        <v>53</v>
      </c>
      <c r="C30" s="1" t="s">
        <v>12</v>
      </c>
      <c r="D30" t="s">
        <v>30</v>
      </c>
      <c r="E30" t="s">
        <v>28</v>
      </c>
      <c r="F30" t="s">
        <v>15</v>
      </c>
      <c r="G30" s="1">
        <v>36</v>
      </c>
      <c r="H30" s="1">
        <v>39102</v>
      </c>
      <c r="I30" s="3">
        <v>0.06</v>
      </c>
      <c r="J30" s="1" t="s">
        <v>32</v>
      </c>
      <c r="K30" s="1">
        <f t="shared" si="0"/>
        <v>1323211.68</v>
      </c>
      <c r="L30" s="1">
        <f>Table1[[#This Row],[Units]]*Table1[[#This Row],[UnitPrice]]</f>
        <v>1407672</v>
      </c>
    </row>
    <row r="31" spans="1:12">
      <c r="A31" s="1">
        <v>1030</v>
      </c>
      <c r="B31" s="2" t="s">
        <v>54</v>
      </c>
      <c r="C31" s="1" t="s">
        <v>17</v>
      </c>
      <c r="D31" t="s">
        <v>33</v>
      </c>
      <c r="E31" t="s">
        <v>31</v>
      </c>
      <c r="F31" t="s">
        <v>15</v>
      </c>
      <c r="G31" s="1">
        <v>37</v>
      </c>
      <c r="H31" s="1">
        <v>40485</v>
      </c>
      <c r="I31" s="3">
        <v>7.0000000000000007E-2</v>
      </c>
      <c r="J31" s="1" t="s">
        <v>34</v>
      </c>
      <c r="K31" s="1">
        <f t="shared" si="0"/>
        <v>1393088.8499999999</v>
      </c>
      <c r="L31" s="1">
        <f>Table1[[#This Row],[Units]]*Table1[[#This Row],[UnitPrice]]</f>
        <v>1497945</v>
      </c>
    </row>
    <row r="32" spans="1:12">
      <c r="A32" s="1"/>
      <c r="B32" s="2"/>
      <c r="C32" s="1"/>
      <c r="G32" s="1"/>
      <c r="H32" s="1"/>
      <c r="I32" s="3"/>
      <c r="J32" s="1"/>
      <c r="K32" s="1"/>
      <c r="L32" s="1">
        <f>Table1[[#This Row],[Units]]*Table1[[#This Row],[UnitPrice]]</f>
        <v>0</v>
      </c>
    </row>
    <row r="33" spans="1:12">
      <c r="A33" s="1"/>
      <c r="B33" s="2"/>
      <c r="C33" s="1"/>
      <c r="G33" s="1"/>
      <c r="H33" s="1"/>
      <c r="I33" s="5"/>
      <c r="J33" s="1"/>
      <c r="K33" s="6"/>
      <c r="L33" s="1"/>
    </row>
  </sheetData>
  <printOptions gridLine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7EE1-384F-4A7B-B99E-2B938BFCDA8A}">
  <dimension ref="A1:E9"/>
  <sheetViews>
    <sheetView workbookViewId="0">
      <selection activeCell="E9" sqref="E9"/>
    </sheetView>
  </sheetViews>
  <sheetFormatPr defaultRowHeight="15"/>
  <cols>
    <col min="1" max="1" width="15" customWidth="1"/>
    <col min="2" max="2" width="14.42578125" customWidth="1"/>
    <col min="3" max="3" width="15.28515625" customWidth="1"/>
    <col min="4" max="4" width="14.28515625" customWidth="1"/>
    <col min="5" max="5" width="14.42578125" customWidth="1"/>
    <col min="15" max="15" width="14.42578125" customWidth="1"/>
  </cols>
  <sheetData>
    <row r="1" spans="1:5" ht="18.75">
      <c r="A1" s="7" t="s">
        <v>55</v>
      </c>
      <c r="B1" s="7"/>
      <c r="D1" s="12" t="s">
        <v>2</v>
      </c>
      <c r="E1" s="13" t="s">
        <v>56</v>
      </c>
    </row>
    <row r="2" spans="1:5">
      <c r="A2" s="8" t="s">
        <v>56</v>
      </c>
      <c r="B2" s="8">
        <f>SUM('Sales Data'!K2:K31)</f>
        <v>16048141.139999999</v>
      </c>
      <c r="D2" s="13" t="s">
        <v>12</v>
      </c>
      <c r="E2" s="13">
        <v>4146875.76</v>
      </c>
    </row>
    <row r="3" spans="1:5">
      <c r="A3" s="9" t="s">
        <v>57</v>
      </c>
      <c r="B3" s="9">
        <f>SUM('Sales Data'!L2:L31)</f>
        <v>16899555</v>
      </c>
      <c r="D3" s="13" t="s">
        <v>22</v>
      </c>
      <c r="E3" s="13">
        <v>3468593.28</v>
      </c>
    </row>
    <row r="4" spans="1:5">
      <c r="A4" s="10" t="s">
        <v>58</v>
      </c>
      <c r="B4" s="10">
        <f>SUM('Sales Data'!G2:G31)</f>
        <v>675</v>
      </c>
      <c r="D4" s="13" t="s">
        <v>26</v>
      </c>
      <c r="E4" s="13">
        <v>3853847.13</v>
      </c>
    </row>
    <row r="5" spans="1:5">
      <c r="A5" s="11" t="s">
        <v>59</v>
      </c>
      <c r="B5" s="11">
        <f>COUNTA('Sales Data'!A2:A31)</f>
        <v>30</v>
      </c>
      <c r="D5" s="13" t="s">
        <v>17</v>
      </c>
      <c r="E5" s="13">
        <v>4572915.5699999994</v>
      </c>
    </row>
    <row r="9" spans="1:5">
      <c r="C9" s="19"/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77DD-6346-4604-9A16-FC17AF0C4B35}">
  <dimension ref="A1:H3"/>
  <sheetViews>
    <sheetView tabSelected="1" workbookViewId="0">
      <selection activeCell="C10" sqref="C10"/>
    </sheetView>
  </sheetViews>
  <sheetFormatPr defaultRowHeight="15"/>
  <cols>
    <col min="2" max="2" width="16.5703125" customWidth="1"/>
    <col min="4" max="4" width="20" customWidth="1"/>
    <col min="6" max="6" width="19.28515625" customWidth="1"/>
    <col min="8" max="8" width="16" customWidth="1"/>
  </cols>
  <sheetData>
    <row r="1" spans="1:8" ht="26.25">
      <c r="A1" s="18" t="s">
        <v>60</v>
      </c>
      <c r="B1" s="18"/>
      <c r="C1" s="18"/>
      <c r="D1" s="18"/>
      <c r="E1" s="18"/>
      <c r="F1" s="18"/>
      <c r="G1" s="18"/>
      <c r="H1" s="18"/>
    </row>
    <row r="2" spans="1:8" ht="15.75">
      <c r="B2" s="16" t="s">
        <v>61</v>
      </c>
      <c r="D2" s="14" t="s">
        <v>62</v>
      </c>
      <c r="F2" s="14" t="s">
        <v>63</v>
      </c>
      <c r="H2" s="14" t="s">
        <v>64</v>
      </c>
    </row>
    <row r="3" spans="1:8" ht="21">
      <c r="B3" s="17">
        <f>SUM('Sales Data'!K1:K31)</f>
        <v>16048141.139999999</v>
      </c>
      <c r="D3" s="15">
        <f>SUM('Sales Data'!L1:L31)</f>
        <v>16899555</v>
      </c>
      <c r="F3" s="15">
        <f>SUM('Sales Data'!G1:G31)</f>
        <v>675</v>
      </c>
      <c r="H3" s="15">
        <f>COUNTA('Sales Data'!A2:A31)</f>
        <v>30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2026-10-09T03:27:38Z</dcterms:created>
  <dcterms:modified xsi:type="dcterms:W3CDTF">2026-10-20T03:44:18Z</dcterms:modified>
  <cp:category/>
  <cp:contentStatus/>
</cp:coreProperties>
</file>